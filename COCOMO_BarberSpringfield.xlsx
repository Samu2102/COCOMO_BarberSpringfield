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PRENDIZ\Downloads\"/>
    </mc:Choice>
  </mc:AlternateContent>
  <xr:revisionPtr revIDLastSave="0" documentId="13_ncr:1_{D1EA8E0C-3F0D-4A03-A06D-41B90C7FD91E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Proyecto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7" i="1" l="1"/>
  <c r="F26" i="1"/>
  <c r="F25" i="1"/>
  <c r="F24" i="1"/>
  <c r="F23" i="1"/>
  <c r="F28" i="1" l="1"/>
  <c r="B53" i="1"/>
  <c r="B54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C8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Se usa 1.00 como multiplicador neutro; 0 haría que el producto EAF fuera cero.</t>
        </r>
      </text>
    </comment>
    <comment ref="C9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Se usa 1.00 como multiplicador neutro; 0 haría que el producto EAF fuera cero.</t>
        </r>
      </text>
    </comment>
    <comment ref="B40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20,467 LOC según la captura del resumen del repositorio enviada por el usuario. Actualizar si el conteo exacto cambia.</t>
        </r>
      </text>
    </comment>
  </commentList>
</comments>
</file>

<file path=xl/sharedStrings.xml><?xml version="1.0" encoding="utf-8"?>
<sst xmlns="http://schemas.openxmlformats.org/spreadsheetml/2006/main" count="53" uniqueCount="53">
  <si>
    <t>Proyecto medio</t>
  </si>
  <si>
    <t>a</t>
  </si>
  <si>
    <t>b</t>
  </si>
  <si>
    <t>c</t>
  </si>
  <si>
    <t>d</t>
  </si>
  <si>
    <t>Factores de costo</t>
  </si>
  <si>
    <t>Fiabilidad</t>
  </si>
  <si>
    <t>Tamaño bd</t>
  </si>
  <si>
    <t>Complejidad</t>
  </si>
  <si>
    <t>Restricciones tiempo de ejecución</t>
  </si>
  <si>
    <t>Restricciones memoria virtual</t>
  </si>
  <si>
    <t>Volatilidad maquina virtual</t>
  </si>
  <si>
    <t>Tiempo de respues</t>
  </si>
  <si>
    <t>Capacidad de analisis</t>
  </si>
  <si>
    <t>Experiencia en la aplicación</t>
  </si>
  <si>
    <t>Calidad de los programadores</t>
  </si>
  <si>
    <t>Experiencia en la maquina virtual</t>
  </si>
  <si>
    <t>Experiencia en el lenguaje</t>
  </si>
  <si>
    <t>Tecnicas actualizadas de programacion</t>
  </si>
  <si>
    <t>Utilizacion de herramientas de software</t>
  </si>
  <si>
    <t>Restricciones de tiempo</t>
  </si>
  <si>
    <t>Factor de ajuste de esfuerzo (EAF)</t>
  </si>
  <si>
    <t>Factores funcionales de peso</t>
  </si>
  <si>
    <t>Simple</t>
  </si>
  <si>
    <t>Media</t>
  </si>
  <si>
    <t>Compleja</t>
  </si>
  <si>
    <t>Contador</t>
  </si>
  <si>
    <t>Total multi</t>
  </si>
  <si>
    <t># entrada usuario</t>
  </si>
  <si>
    <t># salida usuario</t>
  </si>
  <si>
    <t># consultas usuario</t>
  </si>
  <si>
    <t># archivos lógicos internos (tablas)</t>
  </si>
  <si>
    <t># interfaces externas</t>
  </si>
  <si>
    <t>Suma Factores de peso</t>
  </si>
  <si>
    <t xml:space="preserve">La familia más cercana &gt; https://domingogallardo.github.io/apuntes-lpp/teoria/tema01-historia-lenguajes-programacion/imagenes/genealogia-de-los-lp.png  </t>
  </si>
  <si>
    <t>Lenguaje</t>
  </si>
  <si>
    <t>Correlación</t>
  </si>
  <si>
    <t>Estimación principal basada en LOC real del repositorio</t>
  </si>
  <si>
    <t>LOC reales (líneas de código)</t>
  </si>
  <si>
    <t>KLOC (LOC / 1000)</t>
  </si>
  <si>
    <t>Salario mensual por persona (COP)</t>
  </si>
  <si>
    <t>Personal promedio</t>
  </si>
  <si>
    <t>Esfuerzo</t>
  </si>
  <si>
    <t>persona-mes</t>
  </si>
  <si>
    <t>Duración</t>
  </si>
  <si>
    <t>meses</t>
  </si>
  <si>
    <t>personas</t>
  </si>
  <si>
    <t>Costo mensual del equipo</t>
  </si>
  <si>
    <t>COP/mes</t>
  </si>
  <si>
    <t>Costo total estimado</t>
  </si>
  <si>
    <t>COP</t>
  </si>
  <si>
    <t xml:space="preserve">PF </t>
  </si>
  <si>
    <t>Python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</si>
</sst>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\ #,##0.00"/>
    <numFmt numFmtId="165" formatCode="0.0000"/>
    <numFmt numFmtId="166" formatCode="&quot;$&quot;#,##0.00"/>
  </numFmts>
  <fonts count="3" x14ac:knownFonts="1">
    <font>
      <sz val="11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b/>
      <sz val="11"/>
      <color rgb="FFFFFFFF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1F4E78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6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2" borderId="1" xfId="0" applyFill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7" borderId="1" xfId="0" applyFill="1" applyBorder="1" applyAlignment="1">
      <alignment vertical="top" wrapText="1"/>
    </xf>
    <xf numFmtId="165" fontId="0" fillId="5" borderId="1" xfId="0" applyNumberFormat="1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166" fontId="0" fillId="0" borderId="1" xfId="0" applyNumberFormat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2" fontId="0" fillId="5" borderId="1" xfId="0" applyNumberFormat="1" applyFill="1" applyBorder="1" applyAlignment="1">
      <alignment vertical="top" wrapText="1"/>
    </xf>
    <xf numFmtId="164" fontId="0" fillId="5" borderId="1" xfId="0" applyNumberForma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29</xdr:row>
      <xdr:rowOff>104775</xdr:rowOff>
    </xdr:from>
    <xdr:to>
      <xdr:col>3</xdr:col>
      <xdr:colOff>1178181</xdr:colOff>
      <xdr:row>31</xdr:row>
      <xdr:rowOff>79144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629275"/>
          <a:ext cx="4599496" cy="35536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19050</xdr:colOff>
      <xdr:row>42</xdr:row>
      <xdr:rowOff>47625</xdr:rowOff>
    </xdr:from>
    <xdr:to>
      <xdr:col>1</xdr:col>
      <xdr:colOff>409386</xdr:colOff>
      <xdr:row>49</xdr:row>
      <xdr:rowOff>18887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50" y="8048625"/>
          <a:ext cx="1514286" cy="130476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5</xdr:col>
      <xdr:colOff>160733</xdr:colOff>
      <xdr:row>0</xdr:row>
      <xdr:rowOff>1</xdr:rowOff>
    </xdr:from>
    <xdr:to>
      <xdr:col>7</xdr:col>
      <xdr:colOff>315515</xdr:colOff>
      <xdr:row>2</xdr:row>
      <xdr:rowOff>140461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232921" y="1"/>
          <a:ext cx="1678782" cy="52146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5</xdr:col>
      <xdr:colOff>131577</xdr:colOff>
      <xdr:row>3</xdr:row>
      <xdr:rowOff>11906</xdr:rowOff>
    </xdr:from>
    <xdr:to>
      <xdr:col>9</xdr:col>
      <xdr:colOff>653022</xdr:colOff>
      <xdr:row>17</xdr:row>
      <xdr:rowOff>35719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203765" y="583406"/>
          <a:ext cx="3569445" cy="269081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6</xdr:col>
      <xdr:colOff>130970</xdr:colOff>
      <xdr:row>20</xdr:row>
      <xdr:rowOff>186076</xdr:rowOff>
    </xdr:from>
    <xdr:to>
      <xdr:col>9</xdr:col>
      <xdr:colOff>756048</xdr:colOff>
      <xdr:row>25</xdr:row>
      <xdr:rowOff>105022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65158" y="3996076"/>
          <a:ext cx="2911078" cy="871446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1</xdr:colOff>
      <xdr:row>37</xdr:row>
      <xdr:rowOff>93249</xdr:rowOff>
    </xdr:from>
    <xdr:to>
      <xdr:col>1</xdr:col>
      <xdr:colOff>1</xdr:colOff>
      <xdr:row>39</xdr:row>
      <xdr:rowOff>4496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" y="8354022"/>
          <a:ext cx="2796886" cy="50006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129705</xdr:colOff>
      <xdr:row>28</xdr:row>
      <xdr:rowOff>160734</xdr:rowOff>
    </xdr:from>
    <xdr:to>
      <xdr:col>4</xdr:col>
      <xdr:colOff>1331923</xdr:colOff>
      <xdr:row>40</xdr:row>
      <xdr:rowOff>261236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773143" y="5494734"/>
          <a:ext cx="1202218" cy="2196002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6"/>
  <sheetViews>
    <sheetView showGridLines="0" tabSelected="1" zoomScale="110" zoomScaleNormal="110" workbookViewId="0">
      <pane ySplit="1" topLeftCell="A2" activePane="bottomLeft" state="frozen"/>
      <selection pane="bottomLeft" activeCell="C59" sqref="C59"/>
    </sheetView>
  </sheetViews>
  <sheetFormatPr baseColWidth="10" defaultRowHeight="15" x14ac:dyDescent="0.25"/>
  <cols>
    <col min="1" max="1" width="42" customWidth="1"/>
    <col min="2" max="2" width="24" customWidth="1"/>
    <col min="3" max="3" width="63.140625" customWidth="1"/>
    <col min="4" max="4" width="18" customWidth="1"/>
    <col min="5" max="5" width="22" customWidth="1"/>
    <col min="6" max="6" width="24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</row>
    <row r="2" spans="1:6" x14ac:dyDescent="0.25">
      <c r="A2" s="2"/>
      <c r="B2" s="3">
        <v>3</v>
      </c>
      <c r="C2" s="3">
        <v>1.1200000000000001</v>
      </c>
      <c r="D2" s="3">
        <v>2.5</v>
      </c>
      <c r="E2" s="3">
        <v>0.35</v>
      </c>
      <c r="F2" s="2"/>
    </row>
    <row r="3" spans="1:6" x14ac:dyDescent="0.25">
      <c r="A3" s="2"/>
      <c r="B3" s="2"/>
      <c r="C3" s="2"/>
      <c r="D3" s="2"/>
      <c r="E3" s="2"/>
      <c r="F3" s="2"/>
    </row>
    <row r="4" spans="1:6" x14ac:dyDescent="0.25">
      <c r="A4" s="2" t="s">
        <v>5</v>
      </c>
      <c r="B4" s="4" t="s">
        <v>6</v>
      </c>
      <c r="C4" s="5">
        <v>1</v>
      </c>
      <c r="D4" s="2"/>
      <c r="E4" s="2"/>
      <c r="F4" s="2"/>
    </row>
    <row r="5" spans="1:6" x14ac:dyDescent="0.25">
      <c r="A5" s="2"/>
      <c r="B5" s="4" t="s">
        <v>7</v>
      </c>
      <c r="C5" s="5">
        <v>1</v>
      </c>
      <c r="D5" s="2"/>
      <c r="E5" s="2"/>
      <c r="F5" s="2"/>
    </row>
    <row r="6" spans="1:6" x14ac:dyDescent="0.25">
      <c r="A6" s="2"/>
      <c r="B6" s="4" t="s">
        <v>8</v>
      </c>
      <c r="C6" s="5">
        <v>1.1499999999999999</v>
      </c>
      <c r="D6" s="2"/>
      <c r="E6" s="2"/>
      <c r="F6" s="2"/>
    </row>
    <row r="7" spans="1:6" x14ac:dyDescent="0.25">
      <c r="A7" s="2"/>
      <c r="B7" s="4" t="s">
        <v>9</v>
      </c>
      <c r="C7" s="5">
        <v>1</v>
      </c>
      <c r="D7" s="2"/>
      <c r="E7" s="2"/>
      <c r="F7" s="2"/>
    </row>
    <row r="8" spans="1:6" x14ac:dyDescent="0.25">
      <c r="A8" s="2"/>
      <c r="B8" s="4" t="s">
        <v>10</v>
      </c>
      <c r="C8" s="6">
        <v>0</v>
      </c>
      <c r="D8" s="2"/>
      <c r="E8" s="2"/>
      <c r="F8" s="2"/>
    </row>
    <row r="9" spans="1:6" x14ac:dyDescent="0.25">
      <c r="A9" s="2"/>
      <c r="B9" s="4" t="s">
        <v>11</v>
      </c>
      <c r="C9" s="6">
        <v>0</v>
      </c>
      <c r="D9" s="2"/>
      <c r="E9" s="2"/>
      <c r="F9" s="2"/>
    </row>
    <row r="10" spans="1:6" x14ac:dyDescent="0.25">
      <c r="A10" s="2"/>
      <c r="B10" s="4" t="s">
        <v>12</v>
      </c>
      <c r="C10" s="5">
        <v>1</v>
      </c>
      <c r="D10" s="2"/>
      <c r="E10" s="2"/>
      <c r="F10" s="2"/>
    </row>
    <row r="11" spans="1:6" x14ac:dyDescent="0.25">
      <c r="A11" s="2"/>
      <c r="B11" s="4" t="s">
        <v>13</v>
      </c>
      <c r="C11" s="5">
        <v>0.86</v>
      </c>
      <c r="D11" s="2"/>
      <c r="E11" s="2"/>
      <c r="F11" s="2"/>
    </row>
    <row r="12" spans="1:6" x14ac:dyDescent="0.25">
      <c r="A12" s="2"/>
      <c r="B12" s="4" t="s">
        <v>14</v>
      </c>
      <c r="C12" s="5">
        <v>0.91</v>
      </c>
      <c r="D12" s="2"/>
      <c r="E12" s="2"/>
      <c r="F12" s="2"/>
    </row>
    <row r="13" spans="1:6" x14ac:dyDescent="0.25">
      <c r="A13" s="2"/>
      <c r="B13" s="4" t="s">
        <v>15</v>
      </c>
      <c r="C13" s="5">
        <v>1</v>
      </c>
      <c r="D13" s="2"/>
      <c r="E13" s="2"/>
      <c r="F13" s="2"/>
    </row>
    <row r="14" spans="1:6" x14ac:dyDescent="0.25">
      <c r="A14" s="2"/>
      <c r="B14" s="4" t="s">
        <v>16</v>
      </c>
      <c r="C14" s="5">
        <v>1.1000000000000001</v>
      </c>
      <c r="D14" s="2"/>
      <c r="E14" s="2"/>
      <c r="F14" s="2"/>
    </row>
    <row r="15" spans="1:6" x14ac:dyDescent="0.25">
      <c r="A15" s="2"/>
      <c r="B15" s="4" t="s">
        <v>17</v>
      </c>
      <c r="C15" s="5">
        <v>0.95</v>
      </c>
      <c r="D15" s="2"/>
      <c r="E15" s="2"/>
      <c r="F15" s="2"/>
    </row>
    <row r="16" spans="1:6" ht="18" x14ac:dyDescent="0.25">
      <c r="A16" s="2"/>
      <c r="B16" s="4" t="s">
        <v>18</v>
      </c>
      <c r="C16" s="5">
        <v>1</v>
      </c>
      <c r="D16" s="2"/>
      <c r="E16" s="2"/>
      <c r="F16" s="2"/>
    </row>
    <row r="17" spans="1:6" ht="18" x14ac:dyDescent="0.25">
      <c r="A17" s="2"/>
      <c r="B17" s="4" t="s">
        <v>19</v>
      </c>
      <c r="C17" s="5">
        <v>1</v>
      </c>
      <c r="D17" s="2"/>
      <c r="E17" s="2"/>
      <c r="F17" s="2"/>
    </row>
    <row r="18" spans="1:6" x14ac:dyDescent="0.25">
      <c r="A18" s="2"/>
      <c r="B18" s="4" t="s">
        <v>20</v>
      </c>
      <c r="C18" s="5">
        <v>1.04</v>
      </c>
      <c r="D18" s="2"/>
      <c r="E18" s="2"/>
      <c r="F18" s="2"/>
    </row>
    <row r="19" spans="1:6" x14ac:dyDescent="0.25">
      <c r="A19" s="2" t="s">
        <v>21</v>
      </c>
      <c r="B19" s="2"/>
      <c r="C19" s="7">
        <v>13.01</v>
      </c>
      <c r="D19" s="2"/>
      <c r="E19" s="2"/>
      <c r="F19" s="2"/>
    </row>
    <row r="20" spans="1:6" x14ac:dyDescent="0.25">
      <c r="A20" s="2"/>
      <c r="B20" s="2"/>
      <c r="C20" s="2"/>
      <c r="D20" s="2"/>
      <c r="E20" s="2"/>
      <c r="F20" s="2"/>
    </row>
    <row r="21" spans="1:6" x14ac:dyDescent="0.25">
      <c r="A21" s="2"/>
      <c r="B21" s="2"/>
      <c r="C21" s="2"/>
      <c r="D21" s="2"/>
      <c r="E21" s="2"/>
      <c r="F21" s="2"/>
    </row>
    <row r="22" spans="1:6" x14ac:dyDescent="0.25">
      <c r="A22" s="2" t="s">
        <v>22</v>
      </c>
      <c r="B22" s="2" t="s">
        <v>23</v>
      </c>
      <c r="C22" s="2" t="s">
        <v>24</v>
      </c>
      <c r="D22" s="2" t="s">
        <v>25</v>
      </c>
      <c r="E22" s="2" t="s">
        <v>26</v>
      </c>
      <c r="F22" s="2" t="s">
        <v>27</v>
      </c>
    </row>
    <row r="23" spans="1:6" x14ac:dyDescent="0.25">
      <c r="A23" s="2" t="s">
        <v>28</v>
      </c>
      <c r="B23" s="2">
        <v>7</v>
      </c>
      <c r="C23" s="3">
        <v>10</v>
      </c>
      <c r="D23" s="2">
        <v>15</v>
      </c>
      <c r="E23" s="5">
        <v>28</v>
      </c>
      <c r="F23" s="2">
        <f>C23*E23</f>
        <v>280</v>
      </c>
    </row>
    <row r="24" spans="1:6" x14ac:dyDescent="0.25">
      <c r="A24" s="2" t="s">
        <v>29</v>
      </c>
      <c r="B24" s="2">
        <v>5</v>
      </c>
      <c r="C24" s="3">
        <v>7</v>
      </c>
      <c r="D24" s="2">
        <v>10</v>
      </c>
      <c r="E24" s="5">
        <v>10</v>
      </c>
      <c r="F24" s="2">
        <f>C24*E24</f>
        <v>70</v>
      </c>
    </row>
    <row r="25" spans="1:6" x14ac:dyDescent="0.25">
      <c r="A25" s="2" t="s">
        <v>30</v>
      </c>
      <c r="B25" s="2">
        <v>3</v>
      </c>
      <c r="C25" s="3">
        <v>4</v>
      </c>
      <c r="D25" s="2">
        <v>6</v>
      </c>
      <c r="E25" s="5">
        <v>17</v>
      </c>
      <c r="F25" s="2">
        <f>C25*E25</f>
        <v>68</v>
      </c>
    </row>
    <row r="26" spans="1:6" x14ac:dyDescent="0.25">
      <c r="A26" s="2" t="s">
        <v>31</v>
      </c>
      <c r="B26" s="2">
        <v>4</v>
      </c>
      <c r="C26" s="3">
        <v>5</v>
      </c>
      <c r="D26" s="2">
        <v>7</v>
      </c>
      <c r="E26" s="5">
        <v>9</v>
      </c>
      <c r="F26" s="2">
        <f>C26*E26</f>
        <v>45</v>
      </c>
    </row>
    <row r="27" spans="1:6" x14ac:dyDescent="0.25">
      <c r="A27" s="2" t="s">
        <v>32</v>
      </c>
      <c r="B27" s="2">
        <v>3</v>
      </c>
      <c r="C27" s="3">
        <v>4</v>
      </c>
      <c r="D27" s="2">
        <v>6</v>
      </c>
      <c r="E27" s="5">
        <v>0</v>
      </c>
      <c r="F27" s="2">
        <f>C27*E27</f>
        <v>0</v>
      </c>
    </row>
    <row r="28" spans="1:6" x14ac:dyDescent="0.25">
      <c r="A28" s="2"/>
      <c r="B28" s="2"/>
      <c r="C28" s="2"/>
      <c r="D28" s="2"/>
      <c r="E28" s="2" t="s">
        <v>33</v>
      </c>
      <c r="F28" s="8">
        <f>SUM(F23:F27)</f>
        <v>463</v>
      </c>
    </row>
    <row r="29" spans="1:6" x14ac:dyDescent="0.25">
      <c r="A29" s="2"/>
      <c r="B29" s="2"/>
      <c r="C29" s="2"/>
      <c r="D29" s="2"/>
      <c r="E29" s="2"/>
      <c r="F29" s="2"/>
    </row>
    <row r="30" spans="1:6" ht="105" x14ac:dyDescent="0.25">
      <c r="A30" s="2"/>
      <c r="B30" s="2"/>
      <c r="C30" s="2"/>
      <c r="D30" s="2"/>
      <c r="E30" s="2"/>
      <c r="F30" s="2" t="s">
        <v>34</v>
      </c>
    </row>
    <row r="31" spans="1:6" x14ac:dyDescent="0.25">
      <c r="A31" s="2"/>
      <c r="B31" s="2"/>
      <c r="C31" s="2"/>
      <c r="D31" s="2"/>
      <c r="E31" s="2"/>
      <c r="F31" s="2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 t="s">
        <v>51</v>
      </c>
      <c r="B33" s="11">
        <v>361.18</v>
      </c>
      <c r="C33" s="2"/>
      <c r="D33" s="2"/>
      <c r="E33" s="2"/>
      <c r="F33" s="2"/>
    </row>
    <row r="34" spans="1:6" x14ac:dyDescent="0.25">
      <c r="A34" s="2"/>
      <c r="B34" s="2"/>
      <c r="C34" s="2"/>
      <c r="D34" s="2"/>
      <c r="E34" s="2"/>
      <c r="F34" s="2"/>
    </row>
    <row r="35" spans="1:6" x14ac:dyDescent="0.25">
      <c r="A35" s="2" t="s">
        <v>35</v>
      </c>
      <c r="B35" s="2" t="s">
        <v>36</v>
      </c>
      <c r="C35" s="2"/>
      <c r="D35" s="2"/>
      <c r="E35" s="2"/>
      <c r="F35" s="2"/>
    </row>
    <row r="36" spans="1:6" x14ac:dyDescent="0.25">
      <c r="A36" s="2" t="s">
        <v>52</v>
      </c>
      <c r="B36" s="5">
        <v>53</v>
      </c>
      <c r="C36" s="2"/>
      <c r="D36" s="2"/>
      <c r="E36" s="2"/>
      <c r="F36" s="2"/>
    </row>
    <row r="37" spans="1:6" x14ac:dyDescent="0.25">
      <c r="A37" s="2"/>
      <c r="B37" s="2"/>
      <c r="C37" s="2"/>
      <c r="D37" s="2"/>
      <c r="E37" s="2"/>
      <c r="F37" s="2"/>
    </row>
    <row r="38" spans="1:6" x14ac:dyDescent="0.25">
      <c r="A38" s="2"/>
      <c r="B38" s="2"/>
      <c r="C38" s="2"/>
      <c r="D38" s="2"/>
      <c r="E38" s="2"/>
      <c r="F38" s="2"/>
    </row>
    <row r="39" spans="1:6" ht="32.1" customHeight="1" x14ac:dyDescent="0.25">
      <c r="A39" s="2" t="s">
        <v>37</v>
      </c>
      <c r="B39" s="2"/>
      <c r="C39" s="2"/>
      <c r="D39" s="2"/>
      <c r="E39" s="2"/>
      <c r="F39" s="2"/>
    </row>
    <row r="40" spans="1:6" ht="32.1" customHeight="1" x14ac:dyDescent="0.25">
      <c r="A40" s="2" t="s">
        <v>38</v>
      </c>
      <c r="B40" s="8">
        <v>19.141999999999999</v>
      </c>
      <c r="D40" s="2"/>
      <c r="E40" s="2"/>
      <c r="F40" s="2"/>
    </row>
    <row r="41" spans="1:6" ht="32.1" customHeight="1" x14ac:dyDescent="0.25">
      <c r="A41" s="2" t="s">
        <v>39</v>
      </c>
      <c r="B41" s="8">
        <v>19.14</v>
      </c>
      <c r="C41" s="2"/>
      <c r="D41" s="2"/>
      <c r="E41" s="2"/>
      <c r="F41" s="2"/>
    </row>
    <row r="42" spans="1:6" ht="32.1" customHeight="1" x14ac:dyDescent="0.25">
      <c r="A42" s="2"/>
      <c r="B42" s="2"/>
      <c r="C42" s="2"/>
      <c r="D42" s="2"/>
      <c r="E42" s="2"/>
      <c r="F42" s="2"/>
    </row>
    <row r="43" spans="1:6" ht="32.1" customHeight="1" x14ac:dyDescent="0.25">
      <c r="A43" s="2" t="s">
        <v>40</v>
      </c>
      <c r="B43" s="9"/>
      <c r="C43" s="2"/>
      <c r="D43" s="2"/>
      <c r="E43" s="2"/>
      <c r="F43" s="2"/>
    </row>
    <row r="44" spans="1:6" ht="32.1" customHeight="1" x14ac:dyDescent="0.25">
      <c r="A44" s="2"/>
      <c r="B44" s="2"/>
      <c r="C44" s="2"/>
      <c r="D44" s="2"/>
      <c r="E44" s="2"/>
      <c r="F44" s="2"/>
    </row>
    <row r="45" spans="1:6" ht="32.1" customHeight="1" x14ac:dyDescent="0.25">
      <c r="A45" s="2"/>
      <c r="B45" s="2"/>
      <c r="C45" s="2"/>
      <c r="D45" s="2"/>
      <c r="E45" s="2"/>
      <c r="F45" s="2"/>
    </row>
    <row r="46" spans="1:6" ht="32.1" customHeight="1" x14ac:dyDescent="0.25">
      <c r="A46" s="2"/>
      <c r="B46" s="2"/>
      <c r="C46" s="2"/>
      <c r="D46" s="2"/>
      <c r="E46" s="2"/>
      <c r="F46" s="2"/>
    </row>
    <row r="47" spans="1:6" ht="32.1" customHeight="1" x14ac:dyDescent="0.25">
      <c r="A47" s="2"/>
      <c r="B47" s="2"/>
      <c r="C47" s="2"/>
      <c r="D47" s="2"/>
      <c r="E47" s="2"/>
      <c r="F47" s="2"/>
    </row>
    <row r="48" spans="1:6" ht="32.1" customHeight="1" x14ac:dyDescent="0.25">
      <c r="A48" s="2"/>
      <c r="B48" s="2"/>
      <c r="C48" s="2"/>
      <c r="D48" s="2"/>
      <c r="E48" s="2"/>
      <c r="F48" s="2"/>
    </row>
    <row r="49" spans="1:6" ht="32.1" customHeight="1" x14ac:dyDescent="0.25">
      <c r="A49" s="2"/>
      <c r="B49" s="2"/>
      <c r="C49" s="2"/>
      <c r="D49" s="2"/>
      <c r="E49" s="2"/>
      <c r="F49" s="2"/>
    </row>
    <row r="50" spans="1:6" ht="32.1" customHeight="1" x14ac:dyDescent="0.25">
      <c r="A50" s="2"/>
      <c r="B50" s="2"/>
      <c r="C50" s="2"/>
      <c r="D50" s="2"/>
      <c r="E50" s="2"/>
      <c r="F50" s="2"/>
    </row>
    <row r="51" spans="1:6" ht="32.1" customHeight="1" x14ac:dyDescent="0.25">
      <c r="A51" s="2"/>
      <c r="B51" s="2"/>
      <c r="C51" s="2"/>
      <c r="D51" s="2"/>
      <c r="E51" s="2"/>
      <c r="F51" s="2"/>
    </row>
    <row r="52" spans="1:6" ht="32.1" customHeight="1" x14ac:dyDescent="0.25">
      <c r="A52" s="10" t="s">
        <v>42</v>
      </c>
      <c r="B52" s="11">
        <v>81.84</v>
      </c>
      <c r="C52" s="2" t="s">
        <v>43</v>
      </c>
      <c r="D52" s="2"/>
      <c r="E52" s="2"/>
      <c r="F52" s="2"/>
    </row>
    <row r="53" spans="1:6" ht="32.1" customHeight="1" x14ac:dyDescent="0.25">
      <c r="A53" s="10" t="s">
        <v>44</v>
      </c>
      <c r="B53" s="11">
        <f>D2*POWER(B52,E2)</f>
        <v>11.680944915755219</v>
      </c>
      <c r="C53" s="2" t="s">
        <v>45</v>
      </c>
      <c r="D53" s="2"/>
      <c r="E53" s="2"/>
      <c r="F53" s="2"/>
    </row>
    <row r="54" spans="1:6" ht="32.1" customHeight="1" x14ac:dyDescent="0.25">
      <c r="A54" s="10" t="s">
        <v>41</v>
      </c>
      <c r="B54" s="11">
        <f>B52/B53</f>
        <v>7.0062825045612946</v>
      </c>
      <c r="C54" s="2" t="s">
        <v>46</v>
      </c>
      <c r="D54" s="2"/>
      <c r="E54" s="2"/>
      <c r="F54" s="2"/>
    </row>
    <row r="55" spans="1:6" ht="32.1" customHeight="1" x14ac:dyDescent="0.25">
      <c r="A55" s="10" t="s">
        <v>47</v>
      </c>
      <c r="B55" s="12">
        <v>13160000</v>
      </c>
      <c r="C55" s="2" t="s">
        <v>48</v>
      </c>
      <c r="D55" s="2"/>
      <c r="E55" s="2"/>
      <c r="F55" s="2"/>
    </row>
    <row r="56" spans="1:6" ht="32.1" customHeight="1" x14ac:dyDescent="0.25">
      <c r="A56" s="2" t="s">
        <v>49</v>
      </c>
      <c r="B56" s="9">
        <v>9391720</v>
      </c>
      <c r="C56" s="12" t="s">
        <v>50</v>
      </c>
      <c r="D56" s="2"/>
      <c r="E56" s="2"/>
      <c r="F56" s="2"/>
    </row>
  </sheetData>
  <pageMargins left="0.7" right="0.7" top="0.75" bottom="0.75" header="0.3" footer="0.3"/>
  <pageSetup orientation="portrait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Proyecto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APRENDIZ</dc:creator>
  <cp:lastModifiedBy>APRENDIZ</cp:lastModifiedBy>
  <dcterms:created xsi:type="dcterms:W3CDTF">2024-02-09T21:52:18Z</dcterms:created>
  <dcterms:modified xsi:type="dcterms:W3CDTF">2026-10-13T13:34:20Z</dcterms:modified>
</cp:coreProperties>
</file>